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marwankamal/Downloads/"/>
    </mc:Choice>
  </mc:AlternateContent>
  <xr:revisionPtr revIDLastSave="0" documentId="8_{48205406-1CBB-3D43-B7AD-C62C62F5C27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6" i="1"/>
</calcChain>
</file>

<file path=xl/sharedStrings.xml><?xml version="1.0" encoding="utf-8"?>
<sst xmlns="http://schemas.openxmlformats.org/spreadsheetml/2006/main" count="56" uniqueCount="55">
  <si>
    <t>BILL OF MATERIALS</t>
  </si>
  <si>
    <t>DESCRIPTION</t>
  </si>
  <si>
    <t>COMPONENT</t>
  </si>
  <si>
    <t>COST PER UNIT</t>
  </si>
  <si>
    <t>SUBTOTAL</t>
  </si>
  <si>
    <t>Item to be created:</t>
  </si>
  <si>
    <t>Qty to create:</t>
  </si>
  <si>
    <r>
      <rPr>
        <b/>
        <sz val="10"/>
        <rFont val="ARIAL"/>
        <family val="2"/>
      </rPr>
      <t>How to use this single-level BOM template:</t>
    </r>
    <r>
      <rPr>
        <sz val="11"/>
        <color theme="1"/>
        <rFont val="Calibri"/>
        <family val="2"/>
        <scheme val="minor"/>
      </rPr>
      <t xml:space="preserve">
1. Specify the item you'll create in </t>
    </r>
    <r>
      <rPr>
        <b/>
        <sz val="11"/>
        <color theme="1"/>
        <rFont val="Calibri"/>
        <family val="2"/>
        <scheme val="minor"/>
      </rPr>
      <t>C2</t>
    </r>
    <r>
      <rPr>
        <sz val="11"/>
        <color theme="1"/>
        <rFont val="Calibri"/>
        <family val="2"/>
        <scheme val="minor"/>
      </rPr>
      <t xml:space="preserve">
2. Specify the quantity you'll be making in </t>
    </r>
    <r>
      <rPr>
        <b/>
        <sz val="11"/>
        <color theme="1"/>
        <rFont val="Calibri"/>
        <family val="2"/>
        <scheme val="minor"/>
      </rPr>
      <t>C3</t>
    </r>
    <r>
      <rPr>
        <sz val="11"/>
        <color theme="1"/>
        <rFont val="Calibri"/>
        <family val="2"/>
        <scheme val="minor"/>
      </rPr>
      <t xml:space="preserve"> 
3. In </t>
    </r>
    <r>
      <rPr>
        <b/>
        <sz val="11"/>
        <color theme="1"/>
        <rFont val="Calibri"/>
        <family val="2"/>
        <scheme val="minor"/>
      </rPr>
      <t>rows 6-25,</t>
    </r>
    <r>
      <rPr>
        <sz val="11"/>
        <color theme="1"/>
        <rFont val="Calibri"/>
        <family val="2"/>
        <scheme val="minor"/>
      </rPr>
      <t xml:space="preserve"> you can add COMPONENTS, BASE QTY, and UNIT COSTS required to make a single finished product. In the example, we've listed the components and cost to create a single bike.
4. The TOTAL COST in </t>
    </r>
    <r>
      <rPr>
        <b/>
        <sz val="11"/>
        <color theme="1"/>
        <rFont val="Calibri"/>
        <family val="2"/>
        <scheme val="minor"/>
      </rPr>
      <t>D27</t>
    </r>
    <r>
      <rPr>
        <sz val="11"/>
        <color theme="1"/>
        <rFont val="Calibri"/>
        <family val="2"/>
        <scheme val="minor"/>
      </rPr>
      <t xml:space="preserve"> will tally the costs of creating the number of finished good specified in Step 2.</t>
    </r>
  </si>
  <si>
    <t>10KΩ resistor</t>
  </si>
  <si>
    <t>AC0402FR-0710KL 0402 (lcsc)</t>
  </si>
  <si>
    <t>needed quantity</t>
  </si>
  <si>
    <t>0 Ω resistor</t>
  </si>
  <si>
    <t>AC0402FR-070Rl 0402 (lcsc)</t>
  </si>
  <si>
    <t>120Ω resistor</t>
  </si>
  <si>
    <t>AC0402FR-0740K2L 0402 (lcsc)</t>
  </si>
  <si>
    <t>40.2kΩ resistor</t>
  </si>
  <si>
    <t>68kΩ resistor</t>
  </si>
  <si>
    <t>AC0402FR-0768KL 0402 (lcsc)</t>
  </si>
  <si>
    <t>PCB</t>
  </si>
  <si>
    <t>0.1 uF capacitor</t>
  </si>
  <si>
    <t>CC0402KRX7R9BB104 0402 (lcsc)</t>
  </si>
  <si>
    <t>1 uF capacitor</t>
  </si>
  <si>
    <t>CC0402KRX5R9BB105 0402 (lcsc)</t>
  </si>
  <si>
    <t>4.7 uF capacitor</t>
  </si>
  <si>
    <t>22 uF capacitor</t>
  </si>
  <si>
    <t>CC0805MKX5R8BB226 0805 (lcsc)</t>
  </si>
  <si>
    <t>yellow led</t>
  </si>
  <si>
    <t xml:space="preserve"> XL-1608WYC-06 0603 (lcsc)</t>
  </si>
  <si>
    <t>red led</t>
  </si>
  <si>
    <t>XL-1608VRC-06 0603 (lcsc)</t>
  </si>
  <si>
    <t>crystal oscillator 16Mhz</t>
  </si>
  <si>
    <t>TSX-3225 16.0000MF18X-AC0</t>
  </si>
  <si>
    <t>esd protection ic</t>
  </si>
  <si>
    <t>TPD4E05U06DQAR</t>
  </si>
  <si>
    <t>motor connectors</t>
  </si>
  <si>
    <t>stm32 mcu</t>
  </si>
  <si>
    <t>STM32G030C8T6TR</t>
  </si>
  <si>
    <t>debug connector (stlink)</t>
  </si>
  <si>
    <t>BM04B-GHS-TBT</t>
  </si>
  <si>
    <t>CAN controller + transceiver</t>
  </si>
  <si>
    <t>MCP25625-E/ML</t>
  </si>
  <si>
    <t>rj45 connector</t>
  </si>
  <si>
    <t>switch</t>
  </si>
  <si>
    <t>can diode</t>
  </si>
  <si>
    <t>ESD2CAN24DBZRQ1 (digikey)</t>
  </si>
  <si>
    <t>SW_C913791 (https://www.lcsc.com/product-detail/C913791.html)</t>
  </si>
  <si>
    <t>22 pF cacpitor</t>
  </si>
  <si>
    <t>CC0402JRNPO9BN220 0402 (lcsc)</t>
  </si>
  <si>
    <t>TOTAL COST:</t>
  </si>
  <si>
    <t>12 pF capacitor</t>
  </si>
  <si>
    <t>CC0402JRNPO9BN120  0402 (lcsc)</t>
  </si>
  <si>
    <t>MTJ-88ARX1-FSM-LG (digikey)</t>
  </si>
  <si>
    <t>AC0805FR-07120RL  0805 (lcsc)</t>
  </si>
  <si>
    <t>(price is minimum order quantity  price in the total)</t>
  </si>
  <si>
    <t>S3B-XH-A  horizontal (digikey)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</si>
</sst>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.25"/>
      <color theme="4"/>
      <name val="Microsoft Sans Serif"/>
      <family val="2"/>
    </font>
    <font>
      <sz val="10"/>
      <color indexed="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u/>
      <sz val="16"/>
      <color theme="5"/>
      <name val="Arial"/>
      <family val="2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</xf>
  </cellStyleXfs>
  <cellXfs count="26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0" xfId="0" applyNumberFormat="1"/>
    <xf numFmtId="0" fontId="6" fillId="0" borderId="0" xfId="1" applyFont="1" applyFill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6" fillId="0" borderId="0" xfId="1" applyFont="1" applyFill="1" applyAlignment="1">
      <alignment horizontal="center" vertical="center" wrapText="1"/>
    </xf>
    <xf numFmtId="0" fontId="6" fillId="0" borderId="0" xfId="1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0" xfId="0" applyNumberFormat="1" applyFill="1" applyBorder="1"/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tabSelected="1" workbookViewId="0">
      <selection activeCell="B23" sqref="B23"/>
    </sheetView>
  </sheetViews>
  <sheetFormatPr baseColWidth="10" defaultColWidth="8.83203125" defaultRowHeight="15" x14ac:dyDescent="0.2"/>
  <cols>
    <col min="1" max="1" width="14.33203125" customWidth="1"/>
    <col min="2" max="2" width="21.6640625" customWidth="1"/>
    <col min="3" max="3" width="13.33203125" customWidth="1"/>
    <col min="4" max="4" width="15.6640625" customWidth="1"/>
    <col min="5" max="5" width="19.6640625" hidden="1" customWidth="1"/>
  </cols>
  <sheetData>
    <row r="1" spans="1:13" ht="35.25" customHeight="1" x14ac:dyDescent="0.2">
      <c r="A1" s="16" t="s">
        <v>0</v>
      </c>
      <c r="B1" s="16"/>
      <c r="C1" s="16"/>
      <c r="D1" s="16"/>
      <c r="E1" s="2"/>
      <c r="F1" s="2"/>
      <c r="G1" s="2"/>
      <c r="H1" s="1"/>
      <c r="I1" s="1"/>
      <c r="J1" s="1"/>
      <c r="K1" s="1"/>
      <c r="L1" s="1"/>
      <c r="M1" s="1"/>
    </row>
    <row r="2" spans="1:13" ht="15" customHeight="1" x14ac:dyDescent="0.2">
      <c r="A2" s="19" t="s">
        <v>5</v>
      </c>
      <c r="B2" s="19"/>
      <c r="C2" s="20" t="s">
        <v>18</v>
      </c>
      <c r="D2" s="20"/>
      <c r="E2" s="1"/>
      <c r="F2" s="1"/>
      <c r="G2" s="1"/>
      <c r="H2" s="1"/>
      <c r="I2" s="1"/>
      <c r="J2" s="1"/>
      <c r="K2" s="1"/>
      <c r="L2" s="1"/>
      <c r="M2" s="1"/>
    </row>
    <row r="3" spans="1:13" x14ac:dyDescent="0.2">
      <c r="A3" s="19" t="s">
        <v>6</v>
      </c>
      <c r="B3" s="19"/>
      <c r="C3" s="20">
        <v>1</v>
      </c>
      <c r="D3" s="20"/>
    </row>
    <row r="4" spans="1:13" x14ac:dyDescent="0.2">
      <c r="A4" s="3"/>
      <c r="B4" s="3"/>
    </row>
    <row r="5" spans="1:13" x14ac:dyDescent="0.2">
      <c r="A5" s="7" t="s">
        <v>2</v>
      </c>
      <c r="B5" s="7" t="s">
        <v>1</v>
      </c>
      <c r="C5" s="8" t="s">
        <v>10</v>
      </c>
      <c r="D5" s="8" t="s">
        <v>3</v>
      </c>
      <c r="E5" s="4" t="s">
        <v>4</v>
      </c>
    </row>
    <row r="6" spans="1:13" x14ac:dyDescent="0.2">
      <c r="A6" s="9" t="s">
        <v>8</v>
      </c>
      <c r="B6" s="10" t="s">
        <v>9</v>
      </c>
      <c r="C6" s="11">
        <v>16</v>
      </c>
      <c r="D6" s="12">
        <v>1.1000000000000001E-3</v>
      </c>
      <c r="E6" s="5">
        <f t="shared" ref="E6:E27" si="0">C6*D6</f>
        <v>1.7600000000000001E-2</v>
      </c>
    </row>
    <row r="7" spans="1:13" x14ac:dyDescent="0.2">
      <c r="A7" s="10" t="s">
        <v>11</v>
      </c>
      <c r="B7" s="10" t="s">
        <v>12</v>
      </c>
      <c r="C7" s="11">
        <v>2</v>
      </c>
      <c r="D7" s="12">
        <v>0</v>
      </c>
      <c r="E7" s="5">
        <f t="shared" si="0"/>
        <v>0</v>
      </c>
    </row>
    <row r="8" spans="1:13" x14ac:dyDescent="0.2">
      <c r="A8" s="10" t="s">
        <v>13</v>
      </c>
      <c r="B8" s="10" t="s">
        <v>52</v>
      </c>
      <c r="C8" s="11">
        <v>1</v>
      </c>
      <c r="D8" s="12">
        <v>0.41</v>
      </c>
      <c r="E8" s="5">
        <f t="shared" si="0"/>
        <v>0.41</v>
      </c>
    </row>
    <row r="9" spans="1:13" x14ac:dyDescent="0.2">
      <c r="A9" s="10" t="s">
        <v>15</v>
      </c>
      <c r="B9" s="10" t="s">
        <v>14</v>
      </c>
      <c r="C9" s="11">
        <v>1</v>
      </c>
      <c r="D9" s="12">
        <v>1.1000000000000001E-3</v>
      </c>
      <c r="E9" s="5">
        <f t="shared" si="0"/>
        <v>1.1000000000000001E-3</v>
      </c>
    </row>
    <row r="10" spans="1:13" x14ac:dyDescent="0.2">
      <c r="A10" s="10" t="s">
        <v>16</v>
      </c>
      <c r="B10" s="10" t="s">
        <v>17</v>
      </c>
      <c r="C10" s="11">
        <v>1</v>
      </c>
      <c r="D10" s="12">
        <v>1.1000000000000001E-3</v>
      </c>
      <c r="E10" s="5">
        <f t="shared" si="0"/>
        <v>1.1000000000000001E-3</v>
      </c>
    </row>
    <row r="11" spans="1:13" x14ac:dyDescent="0.2">
      <c r="A11" s="10" t="s">
        <v>19</v>
      </c>
      <c r="B11" s="10" t="s">
        <v>20</v>
      </c>
      <c r="C11" s="11">
        <v>7</v>
      </c>
      <c r="D11" s="12">
        <v>2.5999999999999999E-3</v>
      </c>
      <c r="E11" s="5">
        <f t="shared" si="0"/>
        <v>1.8200000000000001E-2</v>
      </c>
    </row>
    <row r="12" spans="1:13" x14ac:dyDescent="0.2">
      <c r="A12" s="10" t="s">
        <v>21</v>
      </c>
      <c r="B12" s="10" t="s">
        <v>22</v>
      </c>
      <c r="C12" s="11">
        <v>5</v>
      </c>
      <c r="D12" s="12">
        <v>0.05</v>
      </c>
      <c r="E12" s="5">
        <f t="shared" si="0"/>
        <v>0.25</v>
      </c>
    </row>
    <row r="13" spans="1:13" x14ac:dyDescent="0.2">
      <c r="A13" s="10" t="s">
        <v>23</v>
      </c>
      <c r="B13" s="10" t="s">
        <v>22</v>
      </c>
      <c r="C13" s="11">
        <v>3</v>
      </c>
      <c r="D13" s="12">
        <v>0.05</v>
      </c>
      <c r="E13" s="5">
        <f t="shared" si="0"/>
        <v>0.15000000000000002</v>
      </c>
    </row>
    <row r="14" spans="1:13" x14ac:dyDescent="0.2">
      <c r="A14" s="10" t="s">
        <v>46</v>
      </c>
      <c r="B14" s="10" t="s">
        <v>47</v>
      </c>
      <c r="C14" s="11">
        <v>2</v>
      </c>
      <c r="D14" s="12">
        <v>1.1000000000000001E-3</v>
      </c>
      <c r="E14" s="5">
        <f t="shared" si="0"/>
        <v>2.2000000000000001E-3</v>
      </c>
    </row>
    <row r="15" spans="1:13" x14ac:dyDescent="0.2">
      <c r="A15" s="10" t="s">
        <v>24</v>
      </c>
      <c r="B15" s="10" t="s">
        <v>25</v>
      </c>
      <c r="C15" s="11">
        <v>2</v>
      </c>
      <c r="D15" s="12">
        <v>0.06</v>
      </c>
      <c r="E15" s="5">
        <f t="shared" si="0"/>
        <v>0.12</v>
      </c>
    </row>
    <row r="16" spans="1:13" x14ac:dyDescent="0.2">
      <c r="A16" s="10" t="s">
        <v>26</v>
      </c>
      <c r="B16" s="10" t="s">
        <v>27</v>
      </c>
      <c r="C16" s="11">
        <v>1</v>
      </c>
      <c r="D16" s="12">
        <v>7.4999999999999997E-3</v>
      </c>
      <c r="E16" s="5">
        <f t="shared" si="0"/>
        <v>7.4999999999999997E-3</v>
      </c>
    </row>
    <row r="17" spans="1:22" x14ac:dyDescent="0.2">
      <c r="A17" s="10" t="s">
        <v>28</v>
      </c>
      <c r="B17" s="10" t="s">
        <v>29</v>
      </c>
      <c r="C17" s="11">
        <v>1</v>
      </c>
      <c r="D17" s="12">
        <v>0.01</v>
      </c>
      <c r="E17" s="5">
        <f t="shared" si="0"/>
        <v>0.01</v>
      </c>
    </row>
    <row r="18" spans="1:22" x14ac:dyDescent="0.2">
      <c r="A18" s="10" t="s">
        <v>30</v>
      </c>
      <c r="B18" s="10" t="s">
        <v>31</v>
      </c>
      <c r="C18" s="11">
        <v>2</v>
      </c>
      <c r="D18" s="12">
        <v>0.37</v>
      </c>
      <c r="E18" s="5">
        <f t="shared" si="0"/>
        <v>0.74</v>
      </c>
    </row>
    <row r="19" spans="1:22" x14ac:dyDescent="0.2">
      <c r="A19" s="10" t="s">
        <v>32</v>
      </c>
      <c r="B19" s="10" t="s">
        <v>33</v>
      </c>
      <c r="C19" s="11">
        <v>4</v>
      </c>
      <c r="D19" s="12">
        <v>0.5</v>
      </c>
      <c r="E19" s="5">
        <f t="shared" si="0"/>
        <v>2</v>
      </c>
    </row>
    <row r="20" spans="1:22" x14ac:dyDescent="0.2">
      <c r="A20" s="10" t="s">
        <v>34</v>
      </c>
      <c r="B20" s="10" t="s">
        <v>54</v>
      </c>
      <c r="C20" s="11">
        <v>5</v>
      </c>
      <c r="D20" s="12">
        <v>0.15</v>
      </c>
      <c r="E20" s="5">
        <f t="shared" si="0"/>
        <v>0.75</v>
      </c>
    </row>
    <row r="21" spans="1:22" x14ac:dyDescent="0.2">
      <c r="A21" s="10" t="s">
        <v>35</v>
      </c>
      <c r="B21" s="10" t="s">
        <v>36</v>
      </c>
      <c r="C21" s="11">
        <v>1</v>
      </c>
      <c r="D21" s="12">
        <v>0.87</v>
      </c>
      <c r="E21" s="5">
        <f t="shared" si="0"/>
        <v>0.87</v>
      </c>
    </row>
    <row r="22" spans="1:22" x14ac:dyDescent="0.2">
      <c r="A22" s="10" t="s">
        <v>37</v>
      </c>
      <c r="B22" s="10" t="s">
        <v>38</v>
      </c>
      <c r="C22" s="11">
        <v>1</v>
      </c>
      <c r="D22" s="12">
        <v>0.37</v>
      </c>
      <c r="E22" s="5">
        <f t="shared" si="0"/>
        <v>0.37</v>
      </c>
    </row>
    <row r="23" spans="1:22" x14ac:dyDescent="0.2">
      <c r="A23" s="10" t="s">
        <v>39</v>
      </c>
      <c r="B23" s="10" t="s">
        <v>40</v>
      </c>
      <c r="C23" s="11">
        <v>1</v>
      </c>
      <c r="D23" s="12">
        <v>3.38</v>
      </c>
      <c r="E23" s="5">
        <f t="shared" si="0"/>
        <v>3.38</v>
      </c>
    </row>
    <row r="24" spans="1:22" x14ac:dyDescent="0.2">
      <c r="A24" s="10" t="s">
        <v>41</v>
      </c>
      <c r="B24" s="10" t="s">
        <v>51</v>
      </c>
      <c r="C24" s="11">
        <v>1</v>
      </c>
      <c r="D24" s="12">
        <v>0.67</v>
      </c>
      <c r="E24" s="5">
        <f t="shared" si="0"/>
        <v>0.67</v>
      </c>
    </row>
    <row r="25" spans="1:22" x14ac:dyDescent="0.2">
      <c r="A25" s="10" t="s">
        <v>42</v>
      </c>
      <c r="B25" s="10" t="s">
        <v>45</v>
      </c>
      <c r="C25" s="11">
        <v>1</v>
      </c>
      <c r="D25" s="12">
        <v>0.43</v>
      </c>
      <c r="E25" s="5">
        <f t="shared" si="0"/>
        <v>0.43</v>
      </c>
    </row>
    <row r="26" spans="1:22" x14ac:dyDescent="0.2">
      <c r="A26" s="10" t="s">
        <v>43</v>
      </c>
      <c r="B26" t="s">
        <v>44</v>
      </c>
      <c r="C26" s="11">
        <v>1</v>
      </c>
      <c r="D26" s="21">
        <v>0.34</v>
      </c>
      <c r="E26" s="5">
        <f t="shared" si="0"/>
        <v>0.34</v>
      </c>
    </row>
    <row r="27" spans="1:22" ht="19" x14ac:dyDescent="0.25">
      <c r="A27" s="23" t="s">
        <v>49</v>
      </c>
      <c r="B27" t="s">
        <v>50</v>
      </c>
      <c r="C27" s="25">
        <v>2</v>
      </c>
      <c r="D27" s="13">
        <v>0.1</v>
      </c>
      <c r="E27" s="24">
        <f t="shared" si="0"/>
        <v>0.2</v>
      </c>
    </row>
    <row r="28" spans="1:22" x14ac:dyDescent="0.2">
      <c r="C28" t="s">
        <v>48</v>
      </c>
      <c r="D28" s="22">
        <v>9.89</v>
      </c>
    </row>
    <row r="29" spans="1:22" x14ac:dyDescent="0.2">
      <c r="B29" t="s">
        <v>53</v>
      </c>
    </row>
    <row r="30" spans="1:22" ht="130.5" customHeight="1" x14ac:dyDescent="0.2">
      <c r="A30" s="15" t="s">
        <v>7</v>
      </c>
      <c r="B30" s="15"/>
      <c r="C30" s="15"/>
      <c r="D30" s="15"/>
      <c r="E30" s="14"/>
      <c r="F30" s="14"/>
      <c r="G30" s="14"/>
      <c r="H30" s="14"/>
      <c r="I30" s="14"/>
      <c r="J30" s="14"/>
    </row>
    <row r="32" spans="1:22" ht="53.25" customHeight="1" x14ac:dyDescent="0.2">
      <c r="A32" s="17"/>
      <c r="B32" s="18"/>
      <c r="C32" s="18"/>
      <c r="D32" s="18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</sheetData>
  <mergeCells count="7">
    <mergeCell ref="A30:D30"/>
    <mergeCell ref="A1:D1"/>
    <mergeCell ref="A32:D32"/>
    <mergeCell ref="A2:B2"/>
    <mergeCell ref="A3:B3"/>
    <mergeCell ref="C2:D2"/>
    <mergeCell ref="C3: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Wong</dc:creator>
  <cp:lastModifiedBy>Marwan Kamal</cp:lastModifiedBy>
  <dcterms:created xsi:type="dcterms:W3CDTF">2016-10-14T14:41:25Z</dcterms:created>
  <dcterms:modified xsi:type="dcterms:W3CDTF">2025-11-11T20:50:46Z</dcterms:modified>
</cp:coreProperties>
</file>